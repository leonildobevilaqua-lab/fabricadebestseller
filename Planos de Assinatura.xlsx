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wnloads\bestseller-factory-ai\"/>
    </mc:Choice>
  </mc:AlternateContent>
  <xr:revisionPtr revIDLastSave="0" documentId="13_ncr:1_{6DCBD48A-73DB-4465-9DFC-9057D9A45931}" xr6:coauthVersionLast="47" xr6:coauthVersionMax="47" xr10:uidLastSave="{00000000-0000-0000-0000-000000000000}"/>
  <bookViews>
    <workbookView xWindow="1530" yWindow="1905" windowWidth="21600" windowHeight="12645" xr2:uid="{A4C707A8-3ECB-46E6-AE65-CC91C9D40F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1" l="1"/>
  <c r="L70" i="1" s="1"/>
  <c r="G70" i="1"/>
  <c r="H70" i="1" s="1"/>
  <c r="C70" i="1"/>
  <c r="D70" i="1" s="1"/>
  <c r="K69" i="1"/>
  <c r="L69" i="1" s="1"/>
  <c r="G69" i="1"/>
  <c r="H69" i="1" s="1"/>
  <c r="C69" i="1"/>
  <c r="D69" i="1" s="1"/>
  <c r="K68" i="1"/>
  <c r="L68" i="1" s="1"/>
  <c r="G68" i="1"/>
  <c r="H68" i="1" s="1"/>
  <c r="C68" i="1"/>
  <c r="D68" i="1" s="1"/>
  <c r="J57" i="1"/>
  <c r="F57" i="1"/>
  <c r="B57" i="1"/>
  <c r="J56" i="1"/>
  <c r="J62" i="1" s="1"/>
  <c r="F56" i="1"/>
  <c r="F62" i="1" s="1"/>
  <c r="B56" i="1"/>
  <c r="B62" i="1" s="1"/>
  <c r="O34" i="1"/>
  <c r="O33" i="1"/>
  <c r="K22" i="1"/>
  <c r="K21" i="1"/>
  <c r="K20" i="1"/>
  <c r="G22" i="1"/>
  <c r="G21" i="1"/>
  <c r="G20" i="1"/>
  <c r="H20" i="1" s="1"/>
  <c r="C22" i="1"/>
  <c r="C21" i="1"/>
  <c r="D21" i="1" s="1"/>
  <c r="C20" i="1"/>
  <c r="D20" i="1" s="1"/>
  <c r="L22" i="1"/>
  <c r="L21" i="1"/>
  <c r="L20" i="1"/>
  <c r="H22" i="1"/>
  <c r="H21" i="1"/>
  <c r="D22" i="1"/>
  <c r="J9" i="1"/>
  <c r="J8" i="1"/>
  <c r="F9" i="1"/>
  <c r="F8" i="1"/>
  <c r="B9" i="1"/>
  <c r="B8" i="1"/>
  <c r="J14" i="1" l="1"/>
  <c r="B14" i="1"/>
  <c r="F14" i="1"/>
</calcChain>
</file>

<file path=xl/sharedStrings.xml><?xml version="1.0" encoding="utf-8"?>
<sst xmlns="http://schemas.openxmlformats.org/spreadsheetml/2006/main" count="103" uniqueCount="46">
  <si>
    <t>ASSINATURA</t>
  </si>
  <si>
    <t>Economia Anual de...</t>
  </si>
  <si>
    <t>Mensal</t>
  </si>
  <si>
    <t>No Plano Anual</t>
  </si>
  <si>
    <t>Mais Vendido</t>
  </si>
  <si>
    <t>Livro Completo:</t>
  </si>
  <si>
    <t>Folha de Rosto</t>
  </si>
  <si>
    <t>Página de Titulo</t>
  </si>
  <si>
    <t>Sumário</t>
  </si>
  <si>
    <t>Introdução</t>
  </si>
  <si>
    <t>12 Capítulos</t>
  </si>
  <si>
    <t>+ de 160 Páginas no total</t>
  </si>
  <si>
    <t>Página de Agradecimento - MANUAL</t>
  </si>
  <si>
    <t>Página de Dedicatória - MANUAL</t>
  </si>
  <si>
    <t>(Você terá que escrever do seu jeito)</t>
  </si>
  <si>
    <t>Página Sobre o Autor - MANUAL</t>
  </si>
  <si>
    <t>Página de Agradecimento - AUTOMÁTICO</t>
  </si>
  <si>
    <t>Página de Dedicatória - AUTOMÁTICO</t>
  </si>
  <si>
    <t>Página Sobre o Autor - AUTOMÁTICO</t>
  </si>
  <si>
    <t>Sinopse Profissional Padrão Amazon</t>
  </si>
  <si>
    <t>Texto para Contra Capa do Livro</t>
  </si>
  <si>
    <t>Texto para Orelha da Capa do Livro</t>
  </si>
  <si>
    <t>Texto para Orelha da Contra Capa do Livro</t>
  </si>
  <si>
    <t>20 Palavras Chaves Otimizadas</t>
  </si>
  <si>
    <t>Descrição Profissional para Youtube</t>
  </si>
  <si>
    <t>Grupo Exclusivo no WhatsApp da Editora 360 Express</t>
  </si>
  <si>
    <t>Valor para Geração de Cada Livro</t>
  </si>
  <si>
    <t>Mentoria em grupo para Criação de Capas Profissionais - Via Discord</t>
  </si>
  <si>
    <t>Mentoria em grupo para Publicação na Uiclap - Via Discord</t>
  </si>
  <si>
    <t>Mentoria em grupo para Publicação na Amazon - Via Discord</t>
  </si>
  <si>
    <t>Suporte Pessoal para Publicação - Via Discord</t>
  </si>
  <si>
    <t>No 5º Livro o Ciclo Retorna (R$ 24,90)</t>
  </si>
  <si>
    <t>Links de Produtos (Upsell - Kiwify)</t>
  </si>
  <si>
    <t>Livro em Inglês (R$ 24,99)</t>
  </si>
  <si>
    <t>Livro em Espanhol (R$ 24,99)</t>
  </si>
  <si>
    <t>Publicação Amazon (Impresso) - R$ 49,90</t>
  </si>
  <si>
    <t>Publicação Amazon (Digital) - R$ 39,90</t>
  </si>
  <si>
    <t>PACOTE COMPLETO - R$ 599,90</t>
  </si>
  <si>
    <t>Página de Vendas - R$ 349,90</t>
  </si>
  <si>
    <t>Capa Profissional para Livro (Impresso) - R$ 250,00</t>
  </si>
  <si>
    <t>Capa Profissional para Livro Digital (Ebook) - R$ 99,90</t>
  </si>
  <si>
    <t>Publicação UICLAP para Livro (Impresso) - R$ 49,90</t>
  </si>
  <si>
    <t>Criação de Ficha Catalográfica - R$ 59,90</t>
  </si>
  <si>
    <t>Registro de ISBN na CBL (Câmara Brasileira de Livros) para Livro (Impresso) - R$ 49,90</t>
  </si>
  <si>
    <t>Registro de ISBN na CBL (Câmara Brasileira de Livros) para Livro (Digital) - R$ 49,90</t>
  </si>
  <si>
    <t>Serviço de Hospedagem Profissional de Site (Anual) - R$ 599,90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</si>
</sst>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b/>
      <sz val="12"/>
      <color rgb="FF475569"/>
      <name val="Arial"/>
      <family val="2"/>
    </font>
    <font>
      <sz val="14"/>
      <color rgb="FF0F172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0" xfId="0" quotePrefix="1"/>
    <xf numFmtId="0" fontId="2" fillId="0" borderId="0" xfId="0" applyFont="1"/>
    <xf numFmtId="44" fontId="6" fillId="0" borderId="4" xfId="1" applyFont="1" applyFill="1" applyBorder="1"/>
    <xf numFmtId="44" fontId="6" fillId="0" borderId="0" xfId="1" applyFont="1" applyFill="1" applyBorder="1"/>
    <xf numFmtId="44" fontId="6" fillId="0" borderId="5" xfId="1" applyFont="1" applyFill="1" applyBorder="1"/>
    <xf numFmtId="0" fontId="6" fillId="0" borderId="5" xfId="0" applyFont="1" applyBorder="1"/>
    <xf numFmtId="0" fontId="6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9" fontId="8" fillId="0" borderId="4" xfId="2" applyFont="1" applyFill="1" applyBorder="1" applyAlignment="1">
      <alignment horizontal="center"/>
    </xf>
    <xf numFmtId="8" fontId="8" fillId="0" borderId="0" xfId="0" applyNumberFormat="1" applyFont="1" applyAlignment="1">
      <alignment horizontal="center"/>
    </xf>
    <xf numFmtId="8" fontId="8" fillId="0" borderId="5" xfId="0" applyNumberFormat="1" applyFont="1" applyBorder="1" applyAlignment="1">
      <alignment horizontal="center"/>
    </xf>
    <xf numFmtId="44" fontId="4" fillId="0" borderId="4" xfId="1" applyFont="1" applyFill="1" applyBorder="1"/>
    <xf numFmtId="44" fontId="4" fillId="0" borderId="0" xfId="1" applyFont="1" applyFill="1" applyBorder="1"/>
    <xf numFmtId="44" fontId="4" fillId="0" borderId="5" xfId="1" applyFont="1" applyFill="1" applyBorder="1"/>
    <xf numFmtId="0" fontId="4" fillId="0" borderId="5" xfId="0" applyFont="1" applyBorder="1"/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44" fontId="7" fillId="0" borderId="4" xfId="1" applyFont="1" applyFill="1" applyBorder="1"/>
    <xf numFmtId="44" fontId="7" fillId="0" borderId="0" xfId="1" applyFont="1" applyFill="1" applyBorder="1"/>
    <xf numFmtId="44" fontId="7" fillId="0" borderId="5" xfId="1" applyFont="1" applyFill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4" fontId="4" fillId="0" borderId="4" xfId="1" applyFont="1" applyFill="1" applyBorder="1" applyAlignment="1">
      <alignment horizontal="center"/>
    </xf>
    <xf numFmtId="44" fontId="4" fillId="0" borderId="0" xfId="1" applyFont="1" applyFill="1" applyBorder="1" applyAlignment="1">
      <alignment horizontal="center"/>
    </xf>
    <xf numFmtId="44" fontId="4" fillId="0" borderId="5" xfId="1" applyFont="1" applyFill="1" applyBorder="1" applyAlignment="1">
      <alignment horizontal="center"/>
    </xf>
    <xf numFmtId="44" fontId="4" fillId="0" borderId="0" xfId="1" applyFont="1" applyFill="1" applyAlignment="1">
      <alignment horizontal="center"/>
    </xf>
    <xf numFmtId="0" fontId="8" fillId="0" borderId="0" xfId="0" applyFont="1"/>
    <xf numFmtId="0" fontId="8" fillId="0" borderId="5" xfId="0" applyFont="1" applyBorder="1"/>
    <xf numFmtId="0" fontId="10" fillId="0" borderId="0" xfId="0" applyFont="1"/>
    <xf numFmtId="0" fontId="10" fillId="0" borderId="5" xfId="0" applyFont="1" applyBorder="1"/>
    <xf numFmtId="0" fontId="9" fillId="0" borderId="4" xfId="0" applyFont="1" applyBorder="1"/>
    <xf numFmtId="0" fontId="9" fillId="0" borderId="5" xfId="0" applyFont="1" applyBorder="1"/>
    <xf numFmtId="44" fontId="8" fillId="3" borderId="4" xfId="1" applyFont="1" applyFill="1" applyBorder="1"/>
    <xf numFmtId="44" fontId="8" fillId="0" borderId="0" xfId="1" applyFont="1" applyFill="1" applyBorder="1"/>
    <xf numFmtId="44" fontId="8" fillId="0" borderId="5" xfId="1" applyFont="1" applyFill="1" applyBorder="1"/>
    <xf numFmtId="44" fontId="11" fillId="0" borderId="4" xfId="1" applyFont="1" applyFill="1" applyBorder="1"/>
    <xf numFmtId="44" fontId="11" fillId="0" borderId="0" xfId="1" applyFont="1" applyFill="1" applyBorder="1"/>
    <xf numFmtId="44" fontId="11" fillId="0" borderId="5" xfId="1" applyFont="1" applyFill="1" applyBorder="1"/>
    <xf numFmtId="0" fontId="9" fillId="0" borderId="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Border="1" applyAlignment="1">
      <alignment horizontal="left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8" fillId="0" borderId="0" xfId="2" applyFont="1" applyFill="1" applyBorder="1" applyAlignment="1">
      <alignment horizontal="center"/>
    </xf>
    <xf numFmtId="0" fontId="8" fillId="0" borderId="0" xfId="0" applyFont="1" applyAlignment="1">
      <alignment horizontal="left"/>
    </xf>
    <xf numFmtId="9" fontId="8" fillId="0" borderId="6" xfId="2" applyFont="1" applyFill="1" applyBorder="1" applyAlignment="1">
      <alignment horizontal="left"/>
    </xf>
    <xf numFmtId="8" fontId="8" fillId="0" borderId="7" xfId="0" applyNumberFormat="1" applyFont="1" applyBorder="1" applyAlignment="1">
      <alignment horizontal="left"/>
    </xf>
    <xf numFmtId="8" fontId="8" fillId="0" borderId="8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FD93-BD88-48E3-9CB9-86C9FAEDCF98}">
  <sheetPr codeName="Planilha1"/>
  <dimension ref="B1:O71"/>
  <sheetViews>
    <sheetView tabSelected="1" zoomScale="85" zoomScaleNormal="85" workbookViewId="0">
      <selection activeCell="D70" sqref="B69:D70"/>
    </sheetView>
  </sheetViews>
  <sheetFormatPr defaultRowHeight="20.100000000000001" customHeight="1" x14ac:dyDescent="0.25"/>
  <cols>
    <col min="1" max="1" width="4.28515625" customWidth="1"/>
    <col min="2" max="4" width="20.7109375" customWidth="1"/>
    <col min="5" max="5" width="4.28515625" customWidth="1"/>
    <col min="6" max="8" width="20.7109375" customWidth="1"/>
    <col min="9" max="9" width="4.28515625" customWidth="1"/>
    <col min="10" max="12" width="20.7109375" customWidth="1"/>
    <col min="13" max="13" width="3.140625" customWidth="1"/>
    <col min="14" max="14" width="114.85546875" customWidth="1"/>
  </cols>
  <sheetData>
    <row r="1" spans="2:14" ht="20.100000000000001" customHeight="1" thickBot="1" x14ac:dyDescent="0.3"/>
    <row r="2" spans="2:14" s="14" customFormat="1" ht="20.100000000000001" customHeight="1" x14ac:dyDescent="0.3">
      <c r="B2" s="66" t="s">
        <v>0</v>
      </c>
      <c r="C2" s="67"/>
      <c r="D2" s="68"/>
      <c r="F2" s="60" t="s">
        <v>0</v>
      </c>
      <c r="G2" s="61"/>
      <c r="H2" s="62"/>
      <c r="J2" s="66" t="s">
        <v>0</v>
      </c>
      <c r="K2" s="67"/>
      <c r="L2" s="68"/>
      <c r="N2" s="72" t="s">
        <v>32</v>
      </c>
    </row>
    <row r="3" spans="2:14" s="14" customFormat="1" ht="20.100000000000001" customHeight="1" x14ac:dyDescent="0.3">
      <c r="B3" s="69"/>
      <c r="C3" s="70"/>
      <c r="D3" s="71"/>
      <c r="F3" s="63" t="s">
        <v>4</v>
      </c>
      <c r="G3" s="64"/>
      <c r="H3" s="65"/>
      <c r="J3" s="69"/>
      <c r="K3" s="70"/>
      <c r="L3" s="71"/>
    </row>
    <row r="4" spans="2:14" s="13" customFormat="1" ht="20.100000000000001" customHeight="1" x14ac:dyDescent="0.25">
      <c r="B4" s="9">
        <v>19.899999999999999</v>
      </c>
      <c r="C4" s="10" t="s">
        <v>2</v>
      </c>
      <c r="D4" s="11"/>
      <c r="F4" s="9">
        <v>34.9</v>
      </c>
      <c r="G4" s="10" t="s">
        <v>2</v>
      </c>
      <c r="H4" s="11"/>
      <c r="J4" s="9">
        <v>49.9</v>
      </c>
      <c r="K4" s="10" t="s">
        <v>2</v>
      </c>
      <c r="L4" s="12"/>
      <c r="N4" s="73" t="s">
        <v>33</v>
      </c>
    </row>
    <row r="5" spans="2:14" s="2" customFormat="1" ht="20.100000000000001" customHeight="1" x14ac:dyDescent="0.25">
      <c r="B5" s="19">
        <v>9.9</v>
      </c>
      <c r="C5" s="20" t="s">
        <v>3</v>
      </c>
      <c r="D5" s="21"/>
      <c r="F5" s="19">
        <v>19.899999999999999</v>
      </c>
      <c r="G5" s="20" t="s">
        <v>3</v>
      </c>
      <c r="H5" s="21"/>
      <c r="J5" s="19">
        <v>29.9</v>
      </c>
      <c r="K5" s="20" t="s">
        <v>3</v>
      </c>
      <c r="L5" s="22"/>
      <c r="N5" s="73"/>
    </row>
    <row r="6" spans="2:14" s="29" customFormat="1" ht="20.100000000000001" customHeight="1" x14ac:dyDescent="0.25">
      <c r="B6" s="31">
        <v>12</v>
      </c>
      <c r="D6" s="30"/>
      <c r="F6" s="31">
        <v>12</v>
      </c>
      <c r="H6" s="30"/>
      <c r="J6" s="31">
        <v>12</v>
      </c>
      <c r="L6" s="30"/>
      <c r="N6" s="73" t="s">
        <v>34</v>
      </c>
    </row>
    <row r="7" spans="2:14" s="24" customFormat="1" ht="20.100000000000001" customHeight="1" x14ac:dyDescent="0.25">
      <c r="B7" s="23"/>
      <c r="D7" s="25"/>
      <c r="F7" s="23"/>
      <c r="H7" s="25"/>
      <c r="J7" s="23"/>
      <c r="L7" s="25"/>
      <c r="N7" s="73"/>
    </row>
    <row r="8" spans="2:14" s="24" customFormat="1" ht="20.100000000000001" customHeight="1" x14ac:dyDescent="0.25">
      <c r="B8" s="26">
        <f>B4*B6</f>
        <v>238.79999999999998</v>
      </c>
      <c r="C8" s="27"/>
      <c r="D8" s="28"/>
      <c r="F8" s="26">
        <f>F4*F6</f>
        <v>418.79999999999995</v>
      </c>
      <c r="G8" s="27"/>
      <c r="H8" s="28"/>
      <c r="J8" s="26">
        <f>J4*J6</f>
        <v>598.79999999999995</v>
      </c>
      <c r="L8" s="25"/>
      <c r="N8" s="73" t="s">
        <v>39</v>
      </c>
    </row>
    <row r="9" spans="2:14" s="36" customFormat="1" ht="20.100000000000001" customHeight="1" x14ac:dyDescent="0.3">
      <c r="B9" s="42">
        <f>B5*B6</f>
        <v>118.80000000000001</v>
      </c>
      <c r="C9" s="43"/>
      <c r="D9" s="44"/>
      <c r="F9" s="42">
        <f>F5*F6</f>
        <v>238.79999999999998</v>
      </c>
      <c r="G9" s="43"/>
      <c r="H9" s="44"/>
      <c r="J9" s="42">
        <f>J5*J6</f>
        <v>358.79999999999995</v>
      </c>
      <c r="L9" s="37"/>
      <c r="N9" s="73"/>
    </row>
    <row r="10" spans="2:14" s="24" customFormat="1" ht="20.100000000000001" customHeight="1" x14ac:dyDescent="0.25">
      <c r="B10" s="23"/>
      <c r="D10" s="25"/>
      <c r="F10" s="23"/>
      <c r="H10" s="25"/>
      <c r="J10" s="23"/>
      <c r="L10" s="25"/>
      <c r="N10" s="73" t="s">
        <v>40</v>
      </c>
    </row>
    <row r="11" spans="2:14" s="24" customFormat="1" ht="20.100000000000001" customHeight="1" x14ac:dyDescent="0.25">
      <c r="B11" s="23"/>
      <c r="D11" s="25"/>
      <c r="F11" s="23"/>
      <c r="H11" s="25"/>
      <c r="J11" s="23"/>
      <c r="L11" s="25"/>
      <c r="N11" s="73"/>
    </row>
    <row r="12" spans="2:14" s="24" customFormat="1" ht="20.100000000000001" customHeight="1" x14ac:dyDescent="0.25">
      <c r="B12" s="23"/>
      <c r="D12" s="25"/>
      <c r="F12" s="23"/>
      <c r="H12" s="25"/>
      <c r="J12" s="23"/>
      <c r="L12" s="25"/>
      <c r="N12" s="73" t="s">
        <v>35</v>
      </c>
    </row>
    <row r="13" spans="2:14" s="15" customFormat="1" ht="20.100000000000001" customHeight="1" x14ac:dyDescent="0.35">
      <c r="B13" s="40" t="s">
        <v>1</v>
      </c>
      <c r="D13" s="41"/>
      <c r="F13" s="40" t="s">
        <v>1</v>
      </c>
      <c r="H13" s="41"/>
      <c r="J13" s="40" t="s">
        <v>1</v>
      </c>
      <c r="L13" s="41"/>
      <c r="N13" s="73"/>
    </row>
    <row r="14" spans="2:14" s="38" customFormat="1" ht="20.100000000000001" customHeight="1" x14ac:dyDescent="0.35">
      <c r="B14" s="45">
        <f>B8-B9</f>
        <v>119.99999999999997</v>
      </c>
      <c r="C14" s="46"/>
      <c r="D14" s="47"/>
      <c r="F14" s="45">
        <f>F8-F9</f>
        <v>179.99999999999997</v>
      </c>
      <c r="G14" s="46"/>
      <c r="H14" s="47"/>
      <c r="J14" s="45">
        <f>J8-J9</f>
        <v>240</v>
      </c>
      <c r="L14" s="39"/>
      <c r="N14" s="73" t="s">
        <v>36</v>
      </c>
    </row>
    <row r="15" spans="2:14" s="24" customFormat="1" ht="20.100000000000001" customHeight="1" x14ac:dyDescent="0.25">
      <c r="B15" s="23"/>
      <c r="D15" s="25"/>
      <c r="F15" s="23"/>
      <c r="H15" s="25"/>
      <c r="J15" s="23"/>
      <c r="L15" s="25"/>
      <c r="N15" s="73"/>
    </row>
    <row r="16" spans="2:14" s="15" customFormat="1" ht="20.100000000000001" customHeight="1" x14ac:dyDescent="0.35">
      <c r="B16" s="48" t="s">
        <v>26</v>
      </c>
      <c r="C16" s="49"/>
      <c r="D16" s="50"/>
      <c r="F16" s="40" t="s">
        <v>26</v>
      </c>
      <c r="H16" s="41"/>
      <c r="J16" s="40" t="s">
        <v>26</v>
      </c>
      <c r="L16" s="41"/>
      <c r="N16" s="73" t="s">
        <v>41</v>
      </c>
    </row>
    <row r="17" spans="2:14" s="35" customFormat="1" ht="20.100000000000001" customHeight="1" x14ac:dyDescent="0.25">
      <c r="B17" s="32">
        <v>24.9</v>
      </c>
      <c r="C17" s="33"/>
      <c r="D17" s="34"/>
      <c r="E17" s="33"/>
      <c r="F17" s="32">
        <v>19.899999999999999</v>
      </c>
      <c r="G17" s="33"/>
      <c r="H17" s="34"/>
      <c r="I17" s="33"/>
      <c r="J17" s="32">
        <v>14.9</v>
      </c>
      <c r="K17" s="33"/>
      <c r="L17" s="34"/>
      <c r="N17" s="73"/>
    </row>
    <row r="18" spans="2:14" ht="20.100000000000001" customHeight="1" x14ac:dyDescent="0.25">
      <c r="B18" s="3"/>
      <c r="D18" s="4"/>
      <c r="F18" s="3"/>
      <c r="H18" s="4"/>
      <c r="J18" s="3"/>
      <c r="L18" s="4"/>
      <c r="N18" s="73" t="s">
        <v>42</v>
      </c>
    </row>
    <row r="19" spans="2:14" ht="20.100000000000001" customHeight="1" x14ac:dyDescent="0.25">
      <c r="B19" s="3"/>
      <c r="D19" s="4"/>
      <c r="F19" s="3"/>
      <c r="H19" s="4"/>
      <c r="J19" s="3"/>
      <c r="L19" s="4"/>
      <c r="N19" s="73"/>
    </row>
    <row r="20" spans="2:14" s="14" customFormat="1" ht="20.100000000000001" customHeight="1" x14ac:dyDescent="0.3">
      <c r="B20" s="16">
        <v>0.1</v>
      </c>
      <c r="C20" s="17">
        <f>B17*10%</f>
        <v>2.4900000000000002</v>
      </c>
      <c r="D20" s="18">
        <f>B17-C20</f>
        <v>22.409999999999997</v>
      </c>
      <c r="F20" s="16">
        <v>0.1</v>
      </c>
      <c r="G20" s="17">
        <f>F17*10%</f>
        <v>1.99</v>
      </c>
      <c r="H20" s="18">
        <f>F17-G20</f>
        <v>17.91</v>
      </c>
      <c r="J20" s="16">
        <v>0.1</v>
      </c>
      <c r="K20" s="17">
        <f>J17*10%</f>
        <v>1.4900000000000002</v>
      </c>
      <c r="L20" s="18">
        <f>J17-K20</f>
        <v>13.41</v>
      </c>
      <c r="N20" s="73" t="s">
        <v>43</v>
      </c>
    </row>
    <row r="21" spans="2:14" s="14" customFormat="1" ht="20.100000000000001" customHeight="1" x14ac:dyDescent="0.3">
      <c r="B21" s="16">
        <v>0.15</v>
      </c>
      <c r="C21" s="17">
        <f>B17*15%</f>
        <v>3.7349999999999994</v>
      </c>
      <c r="D21" s="18">
        <f>B17-C21</f>
        <v>21.164999999999999</v>
      </c>
      <c r="F21" s="16">
        <v>0.15</v>
      </c>
      <c r="G21" s="17">
        <f>F17*15%</f>
        <v>2.9849999999999999</v>
      </c>
      <c r="H21" s="18">
        <f>F17-G21</f>
        <v>16.914999999999999</v>
      </c>
      <c r="J21" s="16">
        <v>0.15</v>
      </c>
      <c r="K21" s="17">
        <f>J17*15%</f>
        <v>2.2349999999999999</v>
      </c>
      <c r="L21" s="18">
        <f>J17-K21</f>
        <v>12.665000000000001</v>
      </c>
      <c r="N21" s="73"/>
    </row>
    <row r="22" spans="2:14" s="14" customFormat="1" ht="20.100000000000001" customHeight="1" x14ac:dyDescent="0.3">
      <c r="B22" s="16">
        <v>0.2</v>
      </c>
      <c r="C22" s="17">
        <f>B17*20%</f>
        <v>4.9800000000000004</v>
      </c>
      <c r="D22" s="18">
        <f>B17-C22</f>
        <v>19.919999999999998</v>
      </c>
      <c r="F22" s="16">
        <v>0.2</v>
      </c>
      <c r="G22" s="17">
        <f>F17*20%</f>
        <v>3.98</v>
      </c>
      <c r="H22" s="18">
        <f>F17-G22</f>
        <v>15.919999999999998</v>
      </c>
      <c r="J22" s="16">
        <v>0.2</v>
      </c>
      <c r="K22" s="17">
        <f>J17*20%</f>
        <v>2.9800000000000004</v>
      </c>
      <c r="L22" s="18">
        <f>J17-K22</f>
        <v>11.92</v>
      </c>
      <c r="N22" s="73" t="s">
        <v>44</v>
      </c>
    </row>
    <row r="23" spans="2:14" s="56" customFormat="1" ht="20.100000000000001" customHeight="1" thickBot="1" x14ac:dyDescent="0.35">
      <c r="B23" s="57" t="s">
        <v>31</v>
      </c>
      <c r="C23" s="58"/>
      <c r="D23" s="59"/>
      <c r="F23" s="57" t="s">
        <v>31</v>
      </c>
      <c r="G23" s="58"/>
      <c r="H23" s="59"/>
      <c r="J23" s="57" t="s">
        <v>31</v>
      </c>
      <c r="K23" s="58"/>
      <c r="L23" s="59"/>
      <c r="N23" s="73"/>
    </row>
    <row r="24" spans="2:14" s="14" customFormat="1" ht="20.100000000000001" customHeight="1" x14ac:dyDescent="0.3">
      <c r="B24" s="55"/>
      <c r="C24" s="17"/>
      <c r="D24" s="17"/>
      <c r="F24" s="55"/>
      <c r="G24" s="17"/>
      <c r="H24" s="17"/>
      <c r="J24" s="55"/>
      <c r="K24" s="17"/>
      <c r="L24" s="17"/>
      <c r="N24" s="73" t="s">
        <v>37</v>
      </c>
    </row>
    <row r="25" spans="2:14" ht="20.100000000000001" customHeight="1" x14ac:dyDescent="0.25">
      <c r="N25" s="73"/>
    </row>
    <row r="26" spans="2:14" s="15" customFormat="1" ht="20.100000000000001" customHeight="1" x14ac:dyDescent="0.35">
      <c r="B26" s="15" t="s">
        <v>5</v>
      </c>
      <c r="F26" s="15" t="s">
        <v>5</v>
      </c>
      <c r="J26" s="15" t="s">
        <v>5</v>
      </c>
      <c r="N26" s="73" t="s">
        <v>38</v>
      </c>
    </row>
    <row r="27" spans="2:14" ht="20.100000000000001" customHeight="1" x14ac:dyDescent="0.25">
      <c r="N27" s="73"/>
    </row>
    <row r="28" spans="2:14" ht="20.100000000000001" customHeight="1" x14ac:dyDescent="0.25">
      <c r="B28" t="s">
        <v>6</v>
      </c>
      <c r="F28" t="s">
        <v>6</v>
      </c>
      <c r="J28" t="s">
        <v>6</v>
      </c>
      <c r="N28" s="73" t="s">
        <v>45</v>
      </c>
    </row>
    <row r="29" spans="2:14" ht="20.100000000000001" customHeight="1" x14ac:dyDescent="0.25">
      <c r="B29" t="s">
        <v>7</v>
      </c>
      <c r="F29" t="s">
        <v>7</v>
      </c>
      <c r="J29" t="s">
        <v>7</v>
      </c>
    </row>
    <row r="30" spans="2:14" ht="20.100000000000001" customHeight="1" x14ac:dyDescent="0.25">
      <c r="B30" t="s">
        <v>12</v>
      </c>
      <c r="F30" s="1" t="s">
        <v>16</v>
      </c>
      <c r="G30" s="1"/>
      <c r="J30" s="1" t="s">
        <v>16</v>
      </c>
      <c r="K30" s="1"/>
    </row>
    <row r="31" spans="2:14" ht="20.100000000000001" customHeight="1" x14ac:dyDescent="0.25">
      <c r="B31" s="8" t="s">
        <v>14</v>
      </c>
      <c r="F31" s="1" t="s">
        <v>17</v>
      </c>
      <c r="G31" s="1"/>
      <c r="J31" s="1" t="s">
        <v>17</v>
      </c>
      <c r="K31" s="1"/>
    </row>
    <row r="32" spans="2:14" ht="20.100000000000001" customHeight="1" x14ac:dyDescent="0.25">
      <c r="B32" t="s">
        <v>13</v>
      </c>
      <c r="F32" t="s">
        <v>8</v>
      </c>
      <c r="J32" t="s">
        <v>8</v>
      </c>
      <c r="N32">
        <v>24.9</v>
      </c>
    </row>
    <row r="33" spans="2:15" ht="20.100000000000001" customHeight="1" x14ac:dyDescent="0.25">
      <c r="B33" s="8" t="s">
        <v>14</v>
      </c>
      <c r="F33" t="s">
        <v>9</v>
      </c>
      <c r="J33" t="s">
        <v>9</v>
      </c>
      <c r="N33">
        <v>19.899999999999999</v>
      </c>
      <c r="O33">
        <f>N32-N33</f>
        <v>5</v>
      </c>
    </row>
    <row r="34" spans="2:15" ht="20.100000000000001" customHeight="1" x14ac:dyDescent="0.25">
      <c r="B34" t="s">
        <v>8</v>
      </c>
      <c r="F34" t="s">
        <v>10</v>
      </c>
      <c r="J34" t="s">
        <v>10</v>
      </c>
      <c r="N34">
        <v>14.9</v>
      </c>
      <c r="O34">
        <f>N33-N34</f>
        <v>4.9999999999999982</v>
      </c>
    </row>
    <row r="35" spans="2:15" ht="20.100000000000001" customHeight="1" x14ac:dyDescent="0.25">
      <c r="B35" t="s">
        <v>9</v>
      </c>
      <c r="F35" s="1" t="s">
        <v>18</v>
      </c>
      <c r="G35" s="1"/>
      <c r="J35" s="1" t="s">
        <v>18</v>
      </c>
      <c r="K35" s="1"/>
    </row>
    <row r="36" spans="2:15" ht="20.100000000000001" customHeight="1" thickBot="1" x14ac:dyDescent="0.3">
      <c r="B36" t="s">
        <v>10</v>
      </c>
      <c r="F36" s="7" t="s">
        <v>11</v>
      </c>
      <c r="J36" s="7" t="s">
        <v>11</v>
      </c>
    </row>
    <row r="37" spans="2:15" ht="20.100000000000001" customHeight="1" x14ac:dyDescent="0.25">
      <c r="B37" t="s">
        <v>15</v>
      </c>
      <c r="F37" s="51" t="s">
        <v>19</v>
      </c>
      <c r="G37" s="5"/>
      <c r="H37" s="6"/>
      <c r="J37" t="s">
        <v>19</v>
      </c>
    </row>
    <row r="38" spans="2:15" ht="20.100000000000001" customHeight="1" x14ac:dyDescent="0.25">
      <c r="B38" s="8" t="s">
        <v>14</v>
      </c>
      <c r="F38" s="3" t="s">
        <v>20</v>
      </c>
      <c r="H38" s="4"/>
      <c r="J38" t="s">
        <v>20</v>
      </c>
    </row>
    <row r="39" spans="2:15" ht="20.100000000000001" customHeight="1" x14ac:dyDescent="0.25">
      <c r="B39" s="7" t="s">
        <v>11</v>
      </c>
      <c r="F39" s="3" t="s">
        <v>21</v>
      </c>
      <c r="H39" s="4"/>
      <c r="J39" t="s">
        <v>21</v>
      </c>
    </row>
    <row r="40" spans="2:15" ht="20.100000000000001" customHeight="1" x14ac:dyDescent="0.25">
      <c r="F40" s="3" t="s">
        <v>22</v>
      </c>
      <c r="H40" s="4"/>
      <c r="J40" t="s">
        <v>22</v>
      </c>
    </row>
    <row r="41" spans="2:15" ht="20.100000000000001" customHeight="1" x14ac:dyDescent="0.25">
      <c r="F41" s="3" t="s">
        <v>23</v>
      </c>
      <c r="H41" s="4"/>
      <c r="J41" t="s">
        <v>23</v>
      </c>
    </row>
    <row r="42" spans="2:15" ht="20.100000000000001" customHeight="1" x14ac:dyDescent="0.25">
      <c r="F42" s="3" t="s">
        <v>24</v>
      </c>
      <c r="H42" s="4"/>
      <c r="J42" t="s">
        <v>24</v>
      </c>
    </row>
    <row r="43" spans="2:15" ht="20.100000000000001" customHeight="1" thickBot="1" x14ac:dyDescent="0.3">
      <c r="F43" s="52" t="s">
        <v>25</v>
      </c>
      <c r="G43" s="53"/>
      <c r="H43" s="54"/>
      <c r="J43" t="s">
        <v>25</v>
      </c>
    </row>
    <row r="44" spans="2:15" ht="20.100000000000001" customHeight="1" x14ac:dyDescent="0.25">
      <c r="J44" s="51" t="s">
        <v>27</v>
      </c>
      <c r="K44" s="5"/>
      <c r="L44" s="6"/>
    </row>
    <row r="45" spans="2:15" ht="20.100000000000001" customHeight="1" x14ac:dyDescent="0.25">
      <c r="J45" s="3" t="s">
        <v>28</v>
      </c>
      <c r="L45" s="4"/>
    </row>
    <row r="46" spans="2:15" ht="20.100000000000001" customHeight="1" x14ac:dyDescent="0.25">
      <c r="J46" s="3" t="s">
        <v>29</v>
      </c>
      <c r="L46" s="4"/>
    </row>
    <row r="47" spans="2:15" ht="20.100000000000001" customHeight="1" thickBot="1" x14ac:dyDescent="0.3">
      <c r="J47" s="52" t="s">
        <v>30</v>
      </c>
      <c r="K47" s="53"/>
      <c r="L47" s="54"/>
    </row>
    <row r="49" spans="2:12" ht="20.100000000000001" customHeight="1" thickBot="1" x14ac:dyDescent="0.3"/>
    <row r="50" spans="2:12" ht="20.100000000000001" customHeight="1" x14ac:dyDescent="0.3">
      <c r="B50" s="66" t="s">
        <v>0</v>
      </c>
      <c r="C50" s="67"/>
      <c r="D50" s="68"/>
      <c r="E50" s="14"/>
      <c r="F50" s="60" t="s">
        <v>0</v>
      </c>
      <c r="G50" s="61"/>
      <c r="H50" s="62"/>
      <c r="I50" s="14"/>
      <c r="J50" s="66" t="s">
        <v>0</v>
      </c>
      <c r="K50" s="67"/>
      <c r="L50" s="68"/>
    </row>
    <row r="51" spans="2:12" ht="20.100000000000001" customHeight="1" x14ac:dyDescent="0.3">
      <c r="B51" s="69"/>
      <c r="C51" s="70"/>
      <c r="D51" s="71"/>
      <c r="E51" s="14"/>
      <c r="F51" s="63" t="s">
        <v>4</v>
      </c>
      <c r="G51" s="64"/>
      <c r="H51" s="65"/>
      <c r="I51" s="14"/>
      <c r="J51" s="69"/>
      <c r="K51" s="70"/>
      <c r="L51" s="71"/>
    </row>
    <row r="52" spans="2:12" ht="20.100000000000001" customHeight="1" x14ac:dyDescent="0.25">
      <c r="B52" s="9">
        <v>19.899999999999999</v>
      </c>
      <c r="C52" s="10" t="s">
        <v>2</v>
      </c>
      <c r="D52" s="11"/>
      <c r="E52" s="13"/>
      <c r="F52" s="9">
        <v>34.9</v>
      </c>
      <c r="G52" s="10" t="s">
        <v>2</v>
      </c>
      <c r="H52" s="11"/>
      <c r="I52" s="13"/>
      <c r="J52" s="9">
        <v>49.9</v>
      </c>
      <c r="K52" s="10" t="s">
        <v>2</v>
      </c>
      <c r="L52" s="12"/>
    </row>
    <row r="53" spans="2:12" ht="20.100000000000001" customHeight="1" x14ac:dyDescent="0.25">
      <c r="B53" s="19">
        <v>9.9</v>
      </c>
      <c r="C53" s="20" t="s">
        <v>3</v>
      </c>
      <c r="D53" s="21"/>
      <c r="E53" s="2"/>
      <c r="F53" s="19">
        <v>19.899999999999999</v>
      </c>
      <c r="G53" s="20" t="s">
        <v>3</v>
      </c>
      <c r="H53" s="21"/>
      <c r="I53" s="2"/>
      <c r="J53" s="19">
        <v>29.9</v>
      </c>
      <c r="K53" s="20" t="s">
        <v>3</v>
      </c>
      <c r="L53" s="22"/>
    </row>
    <row r="54" spans="2:12" ht="20.100000000000001" customHeight="1" x14ac:dyDescent="0.25">
      <c r="B54" s="31">
        <v>12</v>
      </c>
      <c r="C54" s="29"/>
      <c r="D54" s="30"/>
      <c r="E54" s="29"/>
      <c r="F54" s="31">
        <v>12</v>
      </c>
      <c r="G54" s="29"/>
      <c r="H54" s="30"/>
      <c r="I54" s="29"/>
      <c r="J54" s="31">
        <v>12</v>
      </c>
      <c r="K54" s="29"/>
      <c r="L54" s="30"/>
    </row>
    <row r="55" spans="2:12" ht="20.100000000000001" customHeight="1" x14ac:dyDescent="0.25">
      <c r="B55" s="23"/>
      <c r="C55" s="24"/>
      <c r="D55" s="25"/>
      <c r="E55" s="24"/>
      <c r="F55" s="23"/>
      <c r="G55" s="24"/>
      <c r="H55" s="25"/>
      <c r="I55" s="24"/>
      <c r="J55" s="23"/>
      <c r="K55" s="24"/>
      <c r="L55" s="25"/>
    </row>
    <row r="56" spans="2:12" ht="20.100000000000001" customHeight="1" x14ac:dyDescent="0.25">
      <c r="B56" s="26">
        <f>B52*B54</f>
        <v>238.79999999999998</v>
      </c>
      <c r="C56" s="27"/>
      <c r="D56" s="28"/>
      <c r="E56" s="24"/>
      <c r="F56" s="26">
        <f>F52*F54</f>
        <v>418.79999999999995</v>
      </c>
      <c r="G56" s="27"/>
      <c r="H56" s="28"/>
      <c r="I56" s="24"/>
      <c r="J56" s="26">
        <f>J52*J54</f>
        <v>598.79999999999995</v>
      </c>
      <c r="K56" s="24"/>
      <c r="L56" s="25"/>
    </row>
    <row r="57" spans="2:12" ht="20.100000000000001" customHeight="1" x14ac:dyDescent="0.3">
      <c r="B57" s="42">
        <f>B53*B54</f>
        <v>118.80000000000001</v>
      </c>
      <c r="C57" s="43"/>
      <c r="D57" s="44"/>
      <c r="E57" s="36"/>
      <c r="F57" s="42">
        <f>F53*F54</f>
        <v>238.79999999999998</v>
      </c>
      <c r="G57" s="43"/>
      <c r="H57" s="44"/>
      <c r="I57" s="36"/>
      <c r="J57" s="42">
        <f>J53*J54</f>
        <v>358.79999999999995</v>
      </c>
      <c r="K57" s="36"/>
      <c r="L57" s="37"/>
    </row>
    <row r="58" spans="2:12" ht="20.100000000000001" customHeight="1" x14ac:dyDescent="0.25">
      <c r="B58" s="23"/>
      <c r="C58" s="24"/>
      <c r="D58" s="25"/>
      <c r="E58" s="24"/>
      <c r="F58" s="23"/>
      <c r="G58" s="24"/>
      <c r="H58" s="25"/>
      <c r="I58" s="24"/>
      <c r="J58" s="23"/>
      <c r="K58" s="24"/>
      <c r="L58" s="25"/>
    </row>
    <row r="59" spans="2:12" ht="20.100000000000001" customHeight="1" x14ac:dyDescent="0.25">
      <c r="B59" s="23"/>
      <c r="C59" s="24"/>
      <c r="D59" s="25"/>
      <c r="E59" s="24"/>
      <c r="F59" s="23"/>
      <c r="G59" s="24"/>
      <c r="H59" s="25"/>
      <c r="I59" s="24"/>
      <c r="J59" s="23"/>
      <c r="K59" s="24"/>
      <c r="L59" s="25"/>
    </row>
    <row r="60" spans="2:12" ht="20.100000000000001" customHeight="1" x14ac:dyDescent="0.25">
      <c r="B60" s="23"/>
      <c r="C60" s="24"/>
      <c r="D60" s="25"/>
      <c r="E60" s="24"/>
      <c r="F60" s="23"/>
      <c r="G60" s="24"/>
      <c r="H60" s="25"/>
      <c r="I60" s="24"/>
      <c r="J60" s="23"/>
      <c r="K60" s="24"/>
      <c r="L60" s="25"/>
    </row>
    <row r="61" spans="2:12" ht="20.100000000000001" customHeight="1" x14ac:dyDescent="0.35">
      <c r="B61" s="40" t="s">
        <v>1</v>
      </c>
      <c r="C61" s="15"/>
      <c r="D61" s="41"/>
      <c r="E61" s="15"/>
      <c r="F61" s="40" t="s">
        <v>1</v>
      </c>
      <c r="G61" s="15"/>
      <c r="H61" s="41"/>
      <c r="I61" s="15"/>
      <c r="J61" s="40" t="s">
        <v>1</v>
      </c>
      <c r="K61" s="15"/>
      <c r="L61" s="41"/>
    </row>
    <row r="62" spans="2:12" ht="20.100000000000001" customHeight="1" x14ac:dyDescent="0.35">
      <c r="B62" s="45">
        <f>B56-B57</f>
        <v>119.99999999999997</v>
      </c>
      <c r="C62" s="46"/>
      <c r="D62" s="47"/>
      <c r="E62" s="38"/>
      <c r="F62" s="45">
        <f>F56-F57</f>
        <v>179.99999999999997</v>
      </c>
      <c r="G62" s="46"/>
      <c r="H62" s="47"/>
      <c r="I62" s="38"/>
      <c r="J62" s="45">
        <f>J56-J57</f>
        <v>240</v>
      </c>
      <c r="K62" s="38"/>
      <c r="L62" s="39"/>
    </row>
    <row r="63" spans="2:12" ht="20.100000000000001" customHeight="1" x14ac:dyDescent="0.25">
      <c r="B63" s="23"/>
      <c r="C63" s="24"/>
      <c r="D63" s="25"/>
      <c r="E63" s="24"/>
      <c r="F63" s="23"/>
      <c r="G63" s="24"/>
      <c r="H63" s="25"/>
      <c r="I63" s="24"/>
      <c r="J63" s="23"/>
      <c r="K63" s="24"/>
      <c r="L63" s="25"/>
    </row>
    <row r="64" spans="2:12" ht="20.100000000000001" customHeight="1" x14ac:dyDescent="0.35">
      <c r="B64" s="48" t="s">
        <v>26</v>
      </c>
      <c r="C64" s="49"/>
      <c r="D64" s="50"/>
      <c r="E64" s="15"/>
      <c r="F64" s="40" t="s">
        <v>26</v>
      </c>
      <c r="G64" s="15"/>
      <c r="H64" s="41"/>
      <c r="I64" s="15"/>
      <c r="J64" s="40" t="s">
        <v>26</v>
      </c>
      <c r="K64" s="15"/>
      <c r="L64" s="41"/>
    </row>
    <row r="65" spans="2:12" ht="20.100000000000001" customHeight="1" x14ac:dyDescent="0.25">
      <c r="B65" s="32">
        <v>26.9</v>
      </c>
      <c r="C65" s="33"/>
      <c r="D65" s="34"/>
      <c r="E65" s="33"/>
      <c r="F65" s="32">
        <v>21.9</v>
      </c>
      <c r="G65" s="33"/>
      <c r="H65" s="34"/>
      <c r="I65" s="33"/>
      <c r="J65" s="32">
        <v>16.899999999999999</v>
      </c>
      <c r="K65" s="33"/>
      <c r="L65" s="34"/>
    </row>
    <row r="66" spans="2:12" ht="20.100000000000001" customHeight="1" x14ac:dyDescent="0.25">
      <c r="B66" s="3">
        <v>3</v>
      </c>
      <c r="D66" s="4"/>
      <c r="F66" s="3"/>
      <c r="H66" s="4"/>
      <c r="J66" s="3"/>
      <c r="L66" s="4"/>
    </row>
    <row r="67" spans="2:12" ht="20.100000000000001" customHeight="1" x14ac:dyDescent="0.25">
      <c r="B67" s="3"/>
      <c r="D67" s="4"/>
      <c r="F67" s="3"/>
      <c r="H67" s="4"/>
      <c r="J67" s="3"/>
      <c r="L67" s="4"/>
    </row>
    <row r="68" spans="2:12" ht="20.100000000000001" customHeight="1" x14ac:dyDescent="0.3">
      <c r="B68" s="16">
        <v>0.1</v>
      </c>
      <c r="C68" s="17">
        <f>B65*10%</f>
        <v>2.69</v>
      </c>
      <c r="D68" s="18">
        <f>B65-C68</f>
        <v>24.209999999999997</v>
      </c>
      <c r="E68" s="14"/>
      <c r="F68" s="16">
        <v>0.1</v>
      </c>
      <c r="G68" s="17">
        <f>F65*10%</f>
        <v>2.19</v>
      </c>
      <c r="H68" s="18">
        <f>F65-G68</f>
        <v>19.709999999999997</v>
      </c>
      <c r="I68" s="14"/>
      <c r="J68" s="16">
        <v>0.1</v>
      </c>
      <c r="K68" s="17">
        <f>J65*10%</f>
        <v>1.69</v>
      </c>
      <c r="L68" s="18">
        <f>J65-K68</f>
        <v>15.209999999999999</v>
      </c>
    </row>
    <row r="69" spans="2:12" ht="20.100000000000001" customHeight="1" x14ac:dyDescent="0.3">
      <c r="B69" s="16">
        <v>0.15</v>
      </c>
      <c r="C69" s="17">
        <f>B65*15%</f>
        <v>4.0349999999999993</v>
      </c>
      <c r="D69" s="18">
        <f>B65-C69</f>
        <v>22.864999999999998</v>
      </c>
      <c r="E69" s="14"/>
      <c r="F69" s="16">
        <v>0.15</v>
      </c>
      <c r="G69" s="17">
        <f>F65*15%</f>
        <v>3.2849999999999997</v>
      </c>
      <c r="H69" s="18">
        <f>F65-G69</f>
        <v>18.614999999999998</v>
      </c>
      <c r="I69" s="14"/>
      <c r="J69" s="16">
        <v>0.15</v>
      </c>
      <c r="K69" s="17">
        <f>J65*15%</f>
        <v>2.5349999999999997</v>
      </c>
      <c r="L69" s="18">
        <f>J65-K69</f>
        <v>14.364999999999998</v>
      </c>
    </row>
    <row r="70" spans="2:12" ht="20.100000000000001" customHeight="1" x14ac:dyDescent="0.3">
      <c r="B70" s="16">
        <v>0.2</v>
      </c>
      <c r="C70" s="17">
        <f>B65*20%</f>
        <v>5.38</v>
      </c>
      <c r="D70" s="18">
        <f>B65-C70</f>
        <v>21.52</v>
      </c>
      <c r="E70" s="14"/>
      <c r="F70" s="16">
        <v>0.2</v>
      </c>
      <c r="G70" s="17">
        <f>F65*20%</f>
        <v>4.38</v>
      </c>
      <c r="H70" s="18">
        <f>F65-G70</f>
        <v>17.52</v>
      </c>
      <c r="I70" s="14"/>
      <c r="J70" s="16">
        <v>0.2</v>
      </c>
      <c r="K70" s="17">
        <f>J65*20%</f>
        <v>3.38</v>
      </c>
      <c r="L70" s="18">
        <f>J65-K70</f>
        <v>13.52</v>
      </c>
    </row>
    <row r="71" spans="2:12" ht="20.100000000000001" customHeight="1" thickBot="1" x14ac:dyDescent="0.35">
      <c r="B71" s="57" t="s">
        <v>31</v>
      </c>
      <c r="C71" s="58"/>
      <c r="D71" s="59"/>
      <c r="E71" s="56"/>
      <c r="F71" s="57" t="s">
        <v>31</v>
      </c>
      <c r="G71" s="58"/>
      <c r="H71" s="59"/>
      <c r="I71" s="56"/>
      <c r="J71" s="57" t="s">
        <v>31</v>
      </c>
      <c r="K71" s="58"/>
      <c r="L71" s="59"/>
    </row>
  </sheetData>
  <mergeCells count="12">
    <mergeCell ref="B50:D50"/>
    <mergeCell ref="F50:H50"/>
    <mergeCell ref="J50:L50"/>
    <mergeCell ref="B51:D51"/>
    <mergeCell ref="F51:H51"/>
    <mergeCell ref="J51:L51"/>
    <mergeCell ref="F2:H2"/>
    <mergeCell ref="F3:H3"/>
    <mergeCell ref="J2:L2"/>
    <mergeCell ref="J3:L3"/>
    <mergeCell ref="B2:D2"/>
    <mergeCell ref="B3:D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Leonildo Bevilaqua</dc:creator>
  <cp:lastModifiedBy>Leonildo Bevilaqua</cp:lastModifiedBy>
  <dcterms:created xsi:type="dcterms:W3CDTF">2026-01-09T13:45:19Z</dcterms:created>
  <dcterms:modified xsi:type="dcterms:W3CDTF">2026-01-13T20:29:16Z</dcterms:modified>
</cp:coreProperties>
</file>